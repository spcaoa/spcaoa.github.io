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Pavan\Internal audit\SPCAOA\Final\"/>
    </mc:Choice>
  </mc:AlternateContent>
  <xr:revisionPtr revIDLastSave="0" documentId="11_CBAA18E4167CB7C2A853495080067EDBB4400B1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1" l="1"/>
  <c r="B25" i="1"/>
  <c r="B24" i="1"/>
  <c r="B23" i="1"/>
  <c r="B22" i="1"/>
  <c r="B21" i="1"/>
  <c r="B20" i="1"/>
  <c r="B19" i="1"/>
  <c r="B18" i="1"/>
  <c r="B17" i="1"/>
  <c r="B16" i="1"/>
  <c r="B15" i="1"/>
  <c r="B14" i="1"/>
  <c r="B13" i="1"/>
  <c r="B12" i="1"/>
  <c r="B11" i="1"/>
  <c r="B10" i="1"/>
  <c r="B9" i="1"/>
  <c r="B8" i="1"/>
  <c r="B7" i="1"/>
  <c r="B6" i="1"/>
  <c r="B5" i="1"/>
  <c r="B4" i="1"/>
  <c r="B3" i="1"/>
</calcChain>
</file>

<file path=xl/sharedStrings.xml><?xml version="1.0" encoding="utf-8"?>
<sst xmlns="http://schemas.openxmlformats.org/spreadsheetml/2006/main" count="50" uniqueCount="45">
  <si>
    <t>BWSSB water charges is increasing from last 3 quarters</t>
  </si>
  <si>
    <t>We got  BWSSB connection  in April 2025 and the bill started coming from April. Broken period bill was there for April  and May and subsequent months we are getting bills as per actual usage.  It is going to be in the same range in the coming months too.</t>
  </si>
  <si>
    <t>Official mobile number list and plans to be cross verified.</t>
  </si>
  <si>
    <t>For 5 mobile connections we get a single bill and it is post paid.</t>
  </si>
  <si>
    <t>Vex india securities agreement to be verified</t>
  </si>
  <si>
    <t>A copy is sent o ANKH for verification</t>
  </si>
  <si>
    <t>Purchase of Boom Barrier Gear box is a capex</t>
  </si>
  <si>
    <t>Yes. Since corrected</t>
  </si>
  <si>
    <t>Purchase of Vibro Compacted Tamped R1 Paver is a capex</t>
  </si>
  <si>
    <t>Yes.Since corrected</t>
  </si>
  <si>
    <t>Purchase of CCTV camera materials is a capex</t>
  </si>
  <si>
    <t>December month electricity charges are not updated in tally</t>
  </si>
  <si>
    <t>Since done</t>
  </si>
  <si>
    <t>No diesel purchased for DG in last 4 months?</t>
  </si>
  <si>
    <t>Diesel is purchased as per  requirement only and not monthly purchase.</t>
  </si>
  <si>
    <t>Interest on corpus not entered in the month of December</t>
  </si>
  <si>
    <t>Ev charges collection to be against the electricity bill</t>
  </si>
  <si>
    <t>need to pass set off entry every month end</t>
  </si>
  <si>
    <t>Interest on late payment of Rs. 1,25,142?</t>
  </si>
  <si>
    <t>Break up can be verified from MyGate individually.</t>
  </si>
  <si>
    <t>Accrued interest to be cross checked with the original FD as some of the FDs were closed during the period</t>
  </si>
  <si>
    <t>Since done.  ANKH can verify it with the available details with us.</t>
  </si>
  <si>
    <t>4171 C, 1171 C 4082 C and 4081 C , receipts to be cross verified as it appears higher and one time payment</t>
  </si>
  <si>
    <t>These flats were in default from the very beginning and was paid lumpsum upon occupying the flats by thhe owner alongwith interest.</t>
  </si>
  <si>
    <t>Advance Tax 2024-25 to be adjusted against income tax provision entry</t>
  </si>
  <si>
    <t xml:space="preserve">Since done.  </t>
  </si>
  <si>
    <t xml:space="preserve">Vex Securitas has mentioned that the GST to be payable on RCM basis in the agreement, however it is done on the forward charge basis as per the invoice received </t>
  </si>
  <si>
    <t>Yes. This was the practise throughout . Hence Assn requested the company to issue invoices on the forward charge basis.</t>
  </si>
  <si>
    <t>Security guards - 18 as per agreement, 13 as per the invoice received</t>
  </si>
  <si>
    <t xml:space="preserve">November month was the outgo of the old agency (SRS) and incoming (VEX). Hence the difference </t>
  </si>
  <si>
    <t>Electrical Inspectorte - Compliance report to be furnished to the electrical office as per the periodical inspection report received.</t>
  </si>
  <si>
    <t>Last year's compliance report is in place and the current year's inspection report is yet to get and once received will be put in place.</t>
  </si>
  <si>
    <t>Treasurer sign missing in Kaveri electrical invoice</t>
  </si>
  <si>
    <t>Swasthik Traders tax invoice is missing</t>
  </si>
  <si>
    <t>Invoice is there alongwith petty cash vouchers as this was paid by cash</t>
  </si>
  <si>
    <t>No Signature on Excel marketing Bill number EM 564</t>
  </si>
  <si>
    <t>Treasurer sign missing in Renil Demolisher invoice</t>
  </si>
  <si>
    <t>Excel marketing - Rs 16100 dated 29th Nov 2025 tax invoice required</t>
  </si>
  <si>
    <t xml:space="preserve">Since obtained and filed </t>
  </si>
  <si>
    <t>Schindler - Inovice to be received for payment of Rs. 205900/-</t>
  </si>
  <si>
    <t>Since received</t>
  </si>
  <si>
    <t>Sponsorship collection is Rs. 30k as per the mail confirmation.. Only 15k entered in tally</t>
  </si>
  <si>
    <t>15000 is under the head sponsorship collection and the rest under Rental Income (Events)</t>
  </si>
  <si>
    <t>Kannada Rajyotsava food bill to be collected and filed</t>
  </si>
  <si>
    <t>Since collected and filed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</si>
</sst>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
    <font>
      <sz val="11"/>
      <color theme="1"/>
      <name val="Calibri"/>
      <charset val="134"/>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1" xfId="0" applyBorder="1" applyAlignment="1">
      <alignment vertical="center"/>
    </xf>
    <xf numFmtId="0" fontId="0" fillId="0" borderId="1" xfId="0" applyBorder="1"/>
    <xf numFmtId="0" fontId="0" fillId="0" borderId="1" xfId="0" applyBorder="1" applyAlignment="1">
      <alignment horizontal="center"/>
    </xf>
    <xf numFmtId="43" fontId="0" fillId="0" borderId="1" xfId="1" applyFont="1"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7"/>
  <sheetViews>
    <sheetView tabSelected="1" topLeftCell="B1" workbookViewId="0">
      <selection activeCell="D26" sqref="D26"/>
    </sheetView>
  </sheetViews>
  <sheetFormatPr defaultColWidth="9" defaultRowHeight="15"/>
  <cols>
    <col min="1" max="1" width="9" style="2"/>
    <col min="2" max="2" width="3.5703125" style="3" customWidth="1"/>
    <col min="3" max="3" width="56.28515625" style="2" customWidth="1"/>
    <col min="4" max="4" width="77.85546875" style="2" customWidth="1"/>
    <col min="5" max="5" width="9" style="2" hidden="1" customWidth="1"/>
    <col min="6" max="6" width="1" style="2" hidden="1" customWidth="1"/>
    <col min="7" max="16384" width="9" style="2"/>
  </cols>
  <sheetData>
    <row r="2" spans="2:7" ht="21" customHeight="1">
      <c r="B2" s="3">
        <v>1</v>
      </c>
      <c r="C2" s="2" t="s">
        <v>0</v>
      </c>
      <c r="D2" s="2" t="s">
        <v>1</v>
      </c>
    </row>
    <row r="3" spans="2:7">
      <c r="B3" s="3">
        <f t="shared" ref="B3:B26" si="0">B2+1</f>
        <v>2</v>
      </c>
      <c r="C3" s="2" t="s">
        <v>2</v>
      </c>
      <c r="D3" s="2" t="s">
        <v>3</v>
      </c>
    </row>
    <row r="4" spans="2:7">
      <c r="B4" s="3">
        <f t="shared" si="0"/>
        <v>3</v>
      </c>
      <c r="C4" s="2" t="s">
        <v>4</v>
      </c>
      <c r="D4" s="2" t="s">
        <v>5</v>
      </c>
    </row>
    <row r="5" spans="2:7">
      <c r="B5" s="3">
        <f t="shared" si="0"/>
        <v>4</v>
      </c>
      <c r="C5" s="2" t="s">
        <v>6</v>
      </c>
      <c r="D5" s="2" t="s">
        <v>7</v>
      </c>
    </row>
    <row r="6" spans="2:7">
      <c r="B6" s="3">
        <f t="shared" si="0"/>
        <v>5</v>
      </c>
      <c r="C6" s="2" t="s">
        <v>8</v>
      </c>
      <c r="D6" s="2" t="s">
        <v>9</v>
      </c>
    </row>
    <row r="7" spans="2:7">
      <c r="B7" s="3">
        <f t="shared" si="0"/>
        <v>6</v>
      </c>
      <c r="C7" s="2" t="s">
        <v>10</v>
      </c>
      <c r="D7" s="2" t="s">
        <v>9</v>
      </c>
    </row>
    <row r="8" spans="2:7">
      <c r="B8" s="3">
        <f t="shared" si="0"/>
        <v>7</v>
      </c>
      <c r="C8" s="2" t="s">
        <v>11</v>
      </c>
      <c r="D8" s="2" t="s">
        <v>12</v>
      </c>
      <c r="G8" s="4"/>
    </row>
    <row r="9" spans="2:7">
      <c r="B9" s="3">
        <f t="shared" si="0"/>
        <v>8</v>
      </c>
      <c r="C9" s="2" t="s">
        <v>13</v>
      </c>
      <c r="D9" s="2" t="s">
        <v>14</v>
      </c>
    </row>
    <row r="10" spans="2:7">
      <c r="B10" s="3">
        <f t="shared" si="0"/>
        <v>9</v>
      </c>
      <c r="C10" s="2" t="s">
        <v>15</v>
      </c>
      <c r="D10" s="2" t="s">
        <v>12</v>
      </c>
    </row>
    <row r="11" spans="2:7">
      <c r="B11" s="3">
        <f t="shared" si="0"/>
        <v>10</v>
      </c>
      <c r="C11" s="2" t="s">
        <v>16</v>
      </c>
      <c r="D11" s="2" t="s">
        <v>17</v>
      </c>
    </row>
    <row r="12" spans="2:7">
      <c r="B12" s="3">
        <f t="shared" si="0"/>
        <v>11</v>
      </c>
      <c r="C12" s="2" t="s">
        <v>18</v>
      </c>
      <c r="D12" s="2" t="s">
        <v>19</v>
      </c>
    </row>
    <row r="13" spans="2:7" ht="30">
      <c r="B13" s="3">
        <f t="shared" si="0"/>
        <v>12</v>
      </c>
      <c r="C13" s="5" t="s">
        <v>20</v>
      </c>
      <c r="D13" s="2" t="s">
        <v>21</v>
      </c>
    </row>
    <row r="14" spans="2:7" ht="30">
      <c r="B14" s="3">
        <f t="shared" si="0"/>
        <v>13</v>
      </c>
      <c r="C14" s="5" t="s">
        <v>22</v>
      </c>
      <c r="D14" s="2" t="s">
        <v>23</v>
      </c>
    </row>
    <row r="15" spans="2:7" ht="30">
      <c r="B15" s="3">
        <f t="shared" si="0"/>
        <v>14</v>
      </c>
      <c r="C15" s="5" t="s">
        <v>24</v>
      </c>
      <c r="D15" s="2" t="s">
        <v>25</v>
      </c>
    </row>
    <row r="16" spans="2:7" ht="45">
      <c r="B16" s="3">
        <f t="shared" si="0"/>
        <v>15</v>
      </c>
      <c r="C16" s="5" t="s">
        <v>26</v>
      </c>
      <c r="D16" s="2" t="s">
        <v>27</v>
      </c>
    </row>
    <row r="17" spans="2:4" s="1" customFormat="1" ht="30">
      <c r="B17" s="6">
        <f t="shared" si="0"/>
        <v>16</v>
      </c>
      <c r="C17" s="7" t="s">
        <v>28</v>
      </c>
      <c r="D17" s="1" t="s">
        <v>29</v>
      </c>
    </row>
    <row r="18" spans="2:4" ht="45">
      <c r="B18" s="6">
        <f t="shared" si="0"/>
        <v>17</v>
      </c>
      <c r="C18" s="5" t="s">
        <v>30</v>
      </c>
      <c r="D18" s="2" t="s">
        <v>31</v>
      </c>
    </row>
    <row r="19" spans="2:4">
      <c r="B19" s="6">
        <f t="shared" si="0"/>
        <v>18</v>
      </c>
      <c r="C19" s="5" t="s">
        <v>32</v>
      </c>
      <c r="D19" s="2" t="s">
        <v>12</v>
      </c>
    </row>
    <row r="20" spans="2:4">
      <c r="B20" s="6">
        <f t="shared" si="0"/>
        <v>19</v>
      </c>
      <c r="C20" s="5" t="s">
        <v>33</v>
      </c>
      <c r="D20" s="2" t="s">
        <v>34</v>
      </c>
    </row>
    <row r="21" spans="2:4">
      <c r="B21" s="6">
        <f t="shared" si="0"/>
        <v>20</v>
      </c>
      <c r="C21" s="5" t="s">
        <v>35</v>
      </c>
      <c r="D21" s="2" t="s">
        <v>12</v>
      </c>
    </row>
    <row r="22" spans="2:4">
      <c r="B22" s="6">
        <f t="shared" si="0"/>
        <v>21</v>
      </c>
      <c r="C22" s="5" t="s">
        <v>36</v>
      </c>
      <c r="D22" s="2" t="s">
        <v>12</v>
      </c>
    </row>
    <row r="23" spans="2:4" ht="30">
      <c r="B23" s="6">
        <f t="shared" si="0"/>
        <v>22</v>
      </c>
      <c r="C23" s="5" t="s">
        <v>37</v>
      </c>
      <c r="D23" s="2" t="s">
        <v>38</v>
      </c>
    </row>
    <row r="24" spans="2:4">
      <c r="B24" s="6">
        <f t="shared" si="0"/>
        <v>23</v>
      </c>
      <c r="C24" s="5" t="s">
        <v>39</v>
      </c>
      <c r="D24" s="2" t="s">
        <v>40</v>
      </c>
    </row>
    <row r="25" spans="2:4" ht="30">
      <c r="B25" s="6">
        <f t="shared" si="0"/>
        <v>24</v>
      </c>
      <c r="C25" s="5" t="s">
        <v>41</v>
      </c>
      <c r="D25" s="2" t="s">
        <v>42</v>
      </c>
    </row>
    <row r="26" spans="2:4">
      <c r="B26" s="6">
        <f t="shared" si="0"/>
        <v>25</v>
      </c>
      <c r="C26" s="5" t="s">
        <v>43</v>
      </c>
      <c r="D26" s="2" t="s">
        <v>44</v>
      </c>
    </row>
    <row r="27" spans="2:4">
      <c r="B2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dc:creator>
  <cp:lastModifiedBy>Management AFS</cp:lastModifiedBy>
  <dcterms:created xsi:type="dcterms:W3CDTF">2015-06-05T18:17:00Z</dcterms:created>
  <dcterms:modified xsi:type="dcterms:W3CDTF">2026-09-24T15:25:13Z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972D7DB4B0F74A548AC4AF43A2730655_12</vt:lpwstr>
  </property>
  <property fmtid="{D5CDD505-2E9C-101B-9397-08002B2CF9AE}" pid="3" name="KSOProductBuildVer">
    <vt:lpwstr>1033-12.2.0.23196</vt:lpwstr>
  </property>
</Properties>
</file>